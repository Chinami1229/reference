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da268cfe7e9096/ドキュメント/"/>
    </mc:Choice>
  </mc:AlternateContent>
  <xr:revisionPtr revIDLastSave="0" documentId="8_{D22BA1AD-91C0-46C9-A502-FE0892F3B3ED}" xr6:coauthVersionLast="47" xr6:coauthVersionMax="47" xr10:uidLastSave="{00000000-0000-0000-0000-000000000000}"/>
  <bookViews>
    <workbookView xWindow="-108" yWindow="-108" windowWidth="23256" windowHeight="14016" xr2:uid="{F52C8D6B-E3AB-4170-B5D7-5524826CF1CF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24" i="1" l="1"/>
  <c r="N24" i="1"/>
  <c r="P24" i="1"/>
  <c r="M24" i="1"/>
  <c r="P25" i="1" l="1"/>
  <c r="P26" i="1"/>
  <c r="P27" i="1"/>
  <c r="P28" i="1"/>
  <c r="P29" i="1"/>
  <c r="P30" i="1"/>
  <c r="P31" i="1"/>
  <c r="N31" i="1"/>
  <c r="O25" i="1"/>
  <c r="O26" i="1"/>
  <c r="O27" i="1"/>
  <c r="O28" i="1"/>
  <c r="O29" i="1"/>
  <c r="O30" i="1"/>
  <c r="O31" i="1"/>
  <c r="N25" i="1"/>
  <c r="N26" i="1"/>
  <c r="N27" i="1"/>
  <c r="N28" i="1"/>
  <c r="N29" i="1"/>
  <c r="N30" i="1"/>
  <c r="J24" i="1"/>
  <c r="K34" i="1"/>
  <c r="M25" i="1"/>
  <c r="M26" i="1"/>
  <c r="M27" i="1"/>
  <c r="M28" i="1"/>
  <c r="M29" i="1"/>
  <c r="M30" i="1"/>
  <c r="M31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L25" i="1"/>
  <c r="L26" i="1"/>
  <c r="L27" i="1"/>
  <c r="L28" i="1"/>
  <c r="L29" i="1"/>
  <c r="L30" i="1"/>
  <c r="L31" i="1"/>
  <c r="L24" i="1"/>
  <c r="E31" i="1"/>
  <c r="F31" i="1"/>
  <c r="B29" i="1"/>
  <c r="B30" i="1"/>
  <c r="E30" i="1" s="1"/>
  <c r="D30" i="1"/>
  <c r="C30" i="1"/>
  <c r="D28" i="1"/>
  <c r="C28" i="1"/>
  <c r="D29" i="1"/>
  <c r="C29" i="1"/>
  <c r="B27" i="1"/>
  <c r="B26" i="1"/>
  <c r="F26" i="1" s="1"/>
  <c r="F25" i="1"/>
  <c r="F27" i="1"/>
  <c r="F28" i="1"/>
  <c r="F29" i="1"/>
  <c r="F24" i="1"/>
  <c r="E25" i="1"/>
  <c r="E26" i="1"/>
  <c r="E27" i="1"/>
  <c r="E28" i="1"/>
  <c r="G28" i="1" s="1"/>
  <c r="E29" i="1"/>
  <c r="E24" i="1"/>
  <c r="D31" i="1"/>
  <c r="H31" i="1" s="1"/>
  <c r="D27" i="1"/>
  <c r="D26" i="1"/>
  <c r="H26" i="1" s="1"/>
  <c r="D25" i="1"/>
  <c r="D24" i="1"/>
  <c r="C31" i="1"/>
  <c r="G31" i="1" s="1"/>
  <c r="C27" i="1"/>
  <c r="G27" i="1" s="1"/>
  <c r="C26" i="1"/>
  <c r="G26" i="1" s="1"/>
  <c r="C25" i="1"/>
  <c r="G25" i="1" s="1"/>
  <c r="C24" i="1"/>
  <c r="H25" i="1" l="1"/>
  <c r="B22" i="1"/>
  <c r="G29" i="1"/>
  <c r="H24" i="1"/>
  <c r="G30" i="1"/>
  <c r="I31" i="1"/>
  <c r="G24" i="1"/>
  <c r="H27" i="1"/>
  <c r="I27" i="1" s="1"/>
  <c r="H28" i="1"/>
  <c r="I28" i="1" s="1"/>
  <c r="I26" i="1"/>
  <c r="I24" i="1"/>
  <c r="I25" i="1"/>
  <c r="H29" i="1"/>
  <c r="I29" i="1" s="1"/>
  <c r="F30" i="1"/>
  <c r="N5" i="1"/>
  <c r="G10" i="1"/>
  <c r="G6" i="1"/>
  <c r="G8" i="1" s="1"/>
  <c r="G9" i="1" s="1"/>
  <c r="G2" i="1"/>
  <c r="G3" i="1" s="1"/>
  <c r="G1" i="1"/>
  <c r="N13" i="1"/>
  <c r="N14" i="1" s="1"/>
  <c r="N15" i="1" s="1"/>
  <c r="N16" i="1" s="1"/>
  <c r="H14" i="1"/>
  <c r="A7" i="1"/>
  <c r="D7" i="1"/>
  <c r="A3" i="1"/>
  <c r="A4" i="1" s="1"/>
  <c r="A5" i="1" s="1"/>
  <c r="H2" i="1" l="1"/>
  <c r="G7" i="1"/>
  <c r="H30" i="1"/>
  <c r="I30" i="1" s="1"/>
  <c r="A10" i="1"/>
  <c r="G21" i="1"/>
  <c r="G17" i="1"/>
  <c r="G16" i="1"/>
  <c r="D5" i="1"/>
  <c r="G15" i="1"/>
  <c r="G14" i="1"/>
  <c r="B7" i="1"/>
  <c r="B8" i="1" s="1"/>
  <c r="O13" i="1"/>
  <c r="O14" i="1" s="1"/>
  <c r="G4" i="1"/>
  <c r="H6" i="1" s="1"/>
  <c r="E7" i="1" l="1"/>
  <c r="G18" i="1"/>
</calcChain>
</file>

<file path=xl/sharedStrings.xml><?xml version="1.0" encoding="utf-8"?>
<sst xmlns="http://schemas.openxmlformats.org/spreadsheetml/2006/main" count="31" uniqueCount="29">
  <si>
    <t>cm-1</t>
    <phoneticPr fontId="1"/>
  </si>
  <si>
    <t>s-1</t>
    <phoneticPr fontId="1"/>
  </si>
  <si>
    <t>s</t>
    <phoneticPr fontId="1"/>
  </si>
  <si>
    <t>10R</t>
    <phoneticPr fontId="1"/>
  </si>
  <si>
    <t>50R</t>
    <phoneticPr fontId="1"/>
  </si>
  <si>
    <t>10MPI 8thread</t>
    <phoneticPr fontId="1"/>
  </si>
  <si>
    <t>E</t>
    <phoneticPr fontId="1"/>
  </si>
  <si>
    <t>th</t>
    <phoneticPr fontId="1"/>
  </si>
  <si>
    <t>R/10-5</t>
    <phoneticPr fontId="1"/>
  </si>
  <si>
    <t>N</t>
    <phoneticPr fontId="1"/>
  </si>
  <si>
    <t>a</t>
    <phoneticPr fontId="1"/>
  </si>
  <si>
    <t>1h</t>
    <phoneticPr fontId="1"/>
  </si>
  <si>
    <t>total time for mft</t>
    <phoneticPr fontId="1"/>
  </si>
  <si>
    <t>5MPI16thread</t>
    <phoneticPr fontId="1"/>
  </si>
  <si>
    <t>total N</t>
    <phoneticPr fontId="1"/>
  </si>
  <si>
    <t>R0</t>
    <phoneticPr fontId="1"/>
  </si>
  <si>
    <t>nlow</t>
    <phoneticPr fontId="1"/>
  </si>
  <si>
    <t>nhigh</t>
    <phoneticPr fontId="1"/>
  </si>
  <si>
    <t>Rlow</t>
    <phoneticPr fontId="1"/>
  </si>
  <si>
    <t>Rhigh</t>
    <phoneticPr fontId="1"/>
  </si>
  <si>
    <t>nlow*Rlow</t>
    <phoneticPr fontId="1"/>
  </si>
  <si>
    <t>nhigh*rhigh</t>
    <phoneticPr fontId="1"/>
  </si>
  <si>
    <t>ratio</t>
    <phoneticPr fontId="1"/>
  </si>
  <si>
    <t>highenrgy側が先に丸くなる➡effective にscattering rateが減る</t>
    <rPh sb="9" eb="10">
      <t>ガワ</t>
    </rPh>
    <rPh sb="11" eb="12">
      <t>サキ</t>
    </rPh>
    <rPh sb="13" eb="14">
      <t>マル</t>
    </rPh>
    <rPh sb="45" eb="46">
      <t>ヘ</t>
    </rPh>
    <phoneticPr fontId="1"/>
  </si>
  <si>
    <t>lowenergy側の反応率のが多いとhigh energy側の効果が薄れる</t>
    <rPh sb="9" eb="10">
      <t>ガワ</t>
    </rPh>
    <rPh sb="11" eb="13">
      <t>ハンノウ</t>
    </rPh>
    <rPh sb="13" eb="14">
      <t>リツ</t>
    </rPh>
    <rPh sb="16" eb="17">
      <t>オオ</t>
    </rPh>
    <rPh sb="30" eb="31">
      <t>ガワ</t>
    </rPh>
    <rPh sb="32" eb="34">
      <t>コウカ</t>
    </rPh>
    <rPh sb="35" eb="36">
      <t>ウス</t>
    </rPh>
    <phoneticPr fontId="1"/>
  </si>
  <si>
    <t>χ</t>
    <phoneticPr fontId="1"/>
  </si>
  <si>
    <t>平均エネルギー</t>
    <rPh sb="0" eb="2">
      <t>ヘイキン</t>
    </rPh>
    <phoneticPr fontId="1"/>
  </si>
  <si>
    <t>反応率の重み</t>
    <rPh sb="0" eb="2">
      <t>ハンノウ</t>
    </rPh>
    <rPh sb="2" eb="3">
      <t>リツ</t>
    </rPh>
    <rPh sb="4" eb="5">
      <t>オモ</t>
    </rPh>
    <phoneticPr fontId="1"/>
  </si>
  <si>
    <t>alpha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</si>
</sst>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E+0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1" fontId="0" fillId="0" borderId="0" xfId="0" applyNumberFormat="1">
      <alignment vertical="center"/>
    </xf>
    <xf numFmtId="20" fontId="0" fillId="0" borderId="0" xfId="0" applyNumberFormat="1">
      <alignment vertical="center"/>
    </xf>
    <xf numFmtId="46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11" fontId="0" fillId="2" borderId="0" xfId="0" applyNumberForma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BF15F-DEF7-4A0D-AF53-A5AA33C587C9}">
  <sheetPr>
    <pageSetUpPr fitToPage="1"/>
  </sheetPr>
  <dimension ref="A1:Q36"/>
  <sheetViews>
    <sheetView tabSelected="1" topLeftCell="A13" workbookViewId="0">
      <selection activeCell="I28" sqref="I28"/>
    </sheetView>
  </sheetViews>
  <sheetFormatPr defaultRowHeight="18" x14ac:dyDescent="0.45"/>
  <cols>
    <col min="1" max="1" width="13" bestFit="1" customWidth="1"/>
    <col min="4" max="4" width="13" bestFit="1" customWidth="1"/>
    <col min="7" max="7" width="23.59765625" customWidth="1"/>
    <col min="8" max="8" width="11" customWidth="1"/>
    <col min="10" max="10" width="9.296875" bestFit="1" customWidth="1"/>
    <col min="12" max="13" width="13.8984375" customWidth="1"/>
    <col min="14" max="14" width="15" bestFit="1" customWidth="1"/>
    <col min="15" max="15" width="13" bestFit="1" customWidth="1"/>
    <col min="16" max="16" width="10.09765625" bestFit="1" customWidth="1"/>
  </cols>
  <sheetData>
    <row r="1" spans="1:15" x14ac:dyDescent="0.45">
      <c r="G1">
        <f>50000*128*8*2/400</f>
        <v>256000</v>
      </c>
    </row>
    <row r="2" spans="1:15" x14ac:dyDescent="0.45">
      <c r="A2" t="s">
        <v>3</v>
      </c>
      <c r="D2" t="s">
        <v>4</v>
      </c>
      <c r="G2">
        <f>0.00000000005*30000000000*0.0001*1000</f>
        <v>0.15000000000000002</v>
      </c>
      <c r="H2">
        <f>G1*G2</f>
        <v>38400.000000000007</v>
      </c>
    </row>
    <row r="3" spans="1:15" x14ac:dyDescent="0.45">
      <c r="A3">
        <f>0.0001</f>
        <v>1E-4</v>
      </c>
      <c r="B3" t="s">
        <v>0</v>
      </c>
      <c r="G3">
        <f>G2^(-15/LOG10(0.001))</f>
        <v>7.593750000000005E-5</v>
      </c>
    </row>
    <row r="4" spans="1:15" x14ac:dyDescent="0.45">
      <c r="A4">
        <f>A3*30000000000</f>
        <v>3000000</v>
      </c>
      <c r="B4" t="s">
        <v>1</v>
      </c>
      <c r="G4">
        <f>G1*G3</f>
        <v>19.440000000000012</v>
      </c>
    </row>
    <row r="5" spans="1:15" x14ac:dyDescent="0.45">
      <c r="A5">
        <f>1/A4</f>
        <v>3.3333333333333335E-7</v>
      </c>
      <c r="B5" t="s">
        <v>2</v>
      </c>
      <c r="D5">
        <f>A5/5</f>
        <v>6.6666666666666668E-8</v>
      </c>
      <c r="N5">
        <f>SQRT(0.5)</f>
        <v>0.70710678118654757</v>
      </c>
    </row>
    <row r="6" spans="1:15" x14ac:dyDescent="0.45">
      <c r="G6">
        <f>50000*128*2</f>
        <v>12800000</v>
      </c>
      <c r="H6">
        <f>G4/G6</f>
        <v>1.5187500000000009E-6</v>
      </c>
    </row>
    <row r="7" spans="1:15" x14ac:dyDescent="0.45">
      <c r="A7">
        <f>0.00000000024</f>
        <v>2.4E-10</v>
      </c>
      <c r="B7">
        <f>A5/A7</f>
        <v>1388.8888888888889</v>
      </c>
      <c r="D7">
        <f>0.000000000018</f>
        <v>1.7999999999999999E-11</v>
      </c>
      <c r="E7">
        <f>D5/D7</f>
        <v>3703.7037037037039</v>
      </c>
      <c r="G7">
        <f>1000/G6</f>
        <v>7.8125000000000002E-5</v>
      </c>
    </row>
    <row r="8" spans="1:15" x14ac:dyDescent="0.45">
      <c r="B8">
        <f>B7/24</f>
        <v>57.870370370370374</v>
      </c>
      <c r="G8">
        <f>G6*8*0.00000000005*1000*29900000000*0.0001*10/8</f>
        <v>19136000</v>
      </c>
    </row>
    <row r="9" spans="1:15" x14ac:dyDescent="0.45">
      <c r="G9">
        <f>G8/0.00000000005*5.87358644386023E-13</f>
        <v>224793.90037941872</v>
      </c>
    </row>
    <row r="10" spans="1:15" x14ac:dyDescent="0.45">
      <c r="A10">
        <f>A5/1.25*10</f>
        <v>2.6666666666666668E-6</v>
      </c>
      <c r="G10">
        <f>6.08180545136321E+30*128*2</f>
        <v>1.5569421955489818E+33</v>
      </c>
    </row>
    <row r="12" spans="1:15" x14ac:dyDescent="0.45">
      <c r="A12" t="s">
        <v>5</v>
      </c>
    </row>
    <row r="13" spans="1:15" x14ac:dyDescent="0.45">
      <c r="A13" t="s">
        <v>6</v>
      </c>
      <c r="B13" t="s">
        <v>7</v>
      </c>
      <c r="C13" t="s">
        <v>8</v>
      </c>
      <c r="D13" t="s">
        <v>9</v>
      </c>
      <c r="E13" t="s">
        <v>10</v>
      </c>
      <c r="F13" t="s">
        <v>11</v>
      </c>
      <c r="G13" t="s">
        <v>12</v>
      </c>
      <c r="H13" t="s">
        <v>14</v>
      </c>
      <c r="N13">
        <f>0.0001/20/20</f>
        <v>2.5000000000000004E-7</v>
      </c>
      <c r="O13">
        <f>N13*10*10</f>
        <v>2.5000000000000005E-5</v>
      </c>
    </row>
    <row r="14" spans="1:15" x14ac:dyDescent="0.45">
      <c r="A14">
        <v>12</v>
      </c>
      <c r="B14">
        <v>128</v>
      </c>
      <c r="C14">
        <v>10</v>
      </c>
      <c r="D14">
        <v>50000</v>
      </c>
      <c r="E14" s="1">
        <v>1E-3</v>
      </c>
      <c r="F14" s="1">
        <v>2.4E-10</v>
      </c>
      <c r="G14" s="1">
        <f>A5/F14</f>
        <v>1388.8888888888889</v>
      </c>
      <c r="H14">
        <f>A14*B14*D14</f>
        <v>76800000</v>
      </c>
      <c r="N14">
        <f>N13*10*10*1.55694219554898E+33/2+N13*30*30*1.55694219554898E+33/2</f>
        <v>1.9461777444362255E+29</v>
      </c>
      <c r="O14">
        <f>1/O13/30000000000</f>
        <v>1.333333333333333E-6</v>
      </c>
    </row>
    <row r="15" spans="1:15" x14ac:dyDescent="0.45">
      <c r="C15">
        <v>1</v>
      </c>
      <c r="D15">
        <v>50000</v>
      </c>
      <c r="E15" s="1">
        <v>1E-3</v>
      </c>
      <c r="F15" s="1">
        <v>2.7E-10</v>
      </c>
      <c r="G15" s="1">
        <f>A5*10/F15</f>
        <v>12345.679012345679</v>
      </c>
      <c r="N15">
        <f>N14/1.55694219554898E+33</f>
        <v>1.2500000000000003E-4</v>
      </c>
    </row>
    <row r="16" spans="1:15" x14ac:dyDescent="0.45">
      <c r="C16">
        <v>10</v>
      </c>
      <c r="D16">
        <v>5000</v>
      </c>
      <c r="E16" s="1">
        <v>1E-4</v>
      </c>
      <c r="F16" s="1">
        <v>2.3000000000000001E-11</v>
      </c>
      <c r="G16" s="1">
        <f>A5/F16</f>
        <v>14492.753623188406</v>
      </c>
      <c r="N16">
        <f>SQRT(N15/N13)</f>
        <v>22.360679774997898</v>
      </c>
    </row>
    <row r="17" spans="1:17" x14ac:dyDescent="0.45">
      <c r="C17">
        <v>10</v>
      </c>
      <c r="D17">
        <v>500000</v>
      </c>
      <c r="E17" s="1">
        <v>0.01</v>
      </c>
      <c r="F17" s="1">
        <v>2.9E-11</v>
      </c>
      <c r="G17" s="1">
        <f>A5/F17</f>
        <v>11494.252873563219</v>
      </c>
    </row>
    <row r="18" spans="1:17" x14ac:dyDescent="0.45">
      <c r="C18">
        <v>50</v>
      </c>
      <c r="D18">
        <v>50000</v>
      </c>
      <c r="E18" s="1">
        <v>1E-3</v>
      </c>
      <c r="F18" s="1">
        <v>1.7999999999999999E-11</v>
      </c>
      <c r="G18" s="1">
        <f>D5/F18</f>
        <v>3703.7037037037039</v>
      </c>
    </row>
    <row r="20" spans="1:17" x14ac:dyDescent="0.45">
      <c r="A20" t="s">
        <v>13</v>
      </c>
    </row>
    <row r="21" spans="1:17" x14ac:dyDescent="0.45">
      <c r="A21">
        <v>12</v>
      </c>
      <c r="B21">
        <v>128</v>
      </c>
      <c r="C21">
        <v>10</v>
      </c>
      <c r="D21">
        <v>50000</v>
      </c>
      <c r="E21" s="1">
        <v>1E-3</v>
      </c>
      <c r="F21" s="1">
        <v>1.7000000000000001E-10</v>
      </c>
      <c r="G21" s="1">
        <f>A5/F21</f>
        <v>1960.7843137254902</v>
      </c>
    </row>
    <row r="22" spans="1:17" x14ac:dyDescent="0.45">
      <c r="B22" s="1">
        <f>E24*C24+D24*F24</f>
        <v>1.25E-4</v>
      </c>
    </row>
    <row r="23" spans="1:17" x14ac:dyDescent="0.45">
      <c r="B23" t="s">
        <v>15</v>
      </c>
      <c r="C23" t="s">
        <v>16</v>
      </c>
      <c r="D23" t="s">
        <v>17</v>
      </c>
      <c r="E23" t="s">
        <v>18</v>
      </c>
      <c r="F23" t="s">
        <v>19</v>
      </c>
      <c r="G23" t="s">
        <v>20</v>
      </c>
      <c r="H23" t="s">
        <v>21</v>
      </c>
      <c r="I23" t="s">
        <v>22</v>
      </c>
      <c r="L23" t="s">
        <v>25</v>
      </c>
      <c r="M23" t="s">
        <v>25</v>
      </c>
      <c r="N23" t="s">
        <v>26</v>
      </c>
      <c r="O23" t="s">
        <v>27</v>
      </c>
      <c r="P23" s="5" t="s">
        <v>25</v>
      </c>
      <c r="Q23" t="s">
        <v>28</v>
      </c>
    </row>
    <row r="24" spans="1:17" x14ac:dyDescent="0.45">
      <c r="A24" s="2">
        <v>4.2361111111111106E-2</v>
      </c>
      <c r="B24" s="1">
        <v>1E-4</v>
      </c>
      <c r="C24">
        <f>1/2</f>
        <v>0.5</v>
      </c>
      <c r="D24">
        <f>1/2</f>
        <v>0.5</v>
      </c>
      <c r="E24" s="1">
        <f>B24*100/400</f>
        <v>2.5000000000000001E-5</v>
      </c>
      <c r="F24" s="1">
        <f>B24*900/400</f>
        <v>2.2500000000000002E-4</v>
      </c>
      <c r="G24" s="1">
        <f>C24*E24</f>
        <v>1.2500000000000001E-5</v>
      </c>
      <c r="H24" s="1">
        <f>D24*F24</f>
        <v>1.1250000000000001E-4</v>
      </c>
      <c r="I24" s="1">
        <f>G24/H24</f>
        <v>0.1111111111111111</v>
      </c>
      <c r="J24" s="1">
        <f>1-G24/0.000125</f>
        <v>0.9</v>
      </c>
      <c r="K24" s="1">
        <f>1-H24/0.000125</f>
        <v>9.9999999999999978E-2</v>
      </c>
      <c r="L24" s="4">
        <f>SQRT(($A$33*0.000125-F24*D24*$A$33)^(-2)+($A$33*0.000125-E24*$A$33*C24)^(-2))</f>
        <v>80492.312338999312</v>
      </c>
      <c r="M24" s="4">
        <f>SQRT(J24^2+K24^2)</f>
        <v>0.90553851381374173</v>
      </c>
      <c r="N24">
        <f>10*C24+30*D24</f>
        <v>20</v>
      </c>
      <c r="O24" s="1">
        <f>(G24*10+H24*30)/(G24+H24)</f>
        <v>28.000000000000004</v>
      </c>
      <c r="P24" s="6">
        <f>(N24-O24)/(N24+O24)</f>
        <v>-0.16666666666666674</v>
      </c>
      <c r="Q24">
        <v>1</v>
      </c>
    </row>
    <row r="25" spans="1:17" x14ac:dyDescent="0.45">
      <c r="A25" s="2">
        <v>8.4027777777777771E-2</v>
      </c>
      <c r="B25" s="1">
        <v>1.36E-4</v>
      </c>
      <c r="C25">
        <f>2/3</f>
        <v>0.66666666666666663</v>
      </c>
      <c r="D25">
        <f>1/3</f>
        <v>0.33333333333333331</v>
      </c>
      <c r="E25" s="1">
        <f t="shared" ref="E25:E30" si="0">B25*100/400</f>
        <v>3.4E-5</v>
      </c>
      <c r="F25" s="1">
        <f t="shared" ref="F25:F30" si="1">B25*900/400</f>
        <v>3.0600000000000001E-4</v>
      </c>
      <c r="G25" s="1">
        <f t="shared" ref="G25:G31" si="2">C25*E25</f>
        <v>2.2666666666666664E-5</v>
      </c>
      <c r="H25" s="1">
        <f>D25*F25</f>
        <v>1.02E-4</v>
      </c>
      <c r="I25" s="1">
        <f t="shared" ref="I25:I31" si="3">G25/H25</f>
        <v>0.22222222222222221</v>
      </c>
      <c r="J25" s="1">
        <f t="shared" ref="J25:J31" si="4">1-G25/0.000125</f>
        <v>0.81866666666666665</v>
      </c>
      <c r="K25" s="1">
        <f t="shared" ref="K25:K31" si="5">1-H25/0.000125</f>
        <v>0.18400000000000005</v>
      </c>
      <c r="L25" s="4">
        <f t="shared" ref="L25:L31" si="6">SQRT(($A$33*0.000125-F25*D25*$A$33)^(-2)+($A$33*0.000125-E25*$A$33*C25)^(-2))</f>
        <v>44562.886998007481</v>
      </c>
      <c r="M25" s="4">
        <f t="shared" ref="M25:M31" si="7">SQRT(J25^2+K25^2)</f>
        <v>0.83908945358114895</v>
      </c>
      <c r="N25">
        <f t="shared" ref="N25:N30" si="8">10*C25+30*D25</f>
        <v>16.666666666666664</v>
      </c>
      <c r="O25" s="1">
        <f t="shared" ref="O25:O31" si="9">(G25*10+H25*30)/(G25+H25)</f>
        <v>26.36363636363636</v>
      </c>
      <c r="P25" s="6">
        <f t="shared" ref="P25:P31" si="10">(N25-O25)/(N25+O25)</f>
        <v>-0.22535211267605634</v>
      </c>
      <c r="Q25">
        <v>2</v>
      </c>
    </row>
    <row r="26" spans="1:17" x14ac:dyDescent="0.45">
      <c r="A26" s="2">
        <v>0.12569444444444444</v>
      </c>
      <c r="B26">
        <f>5/3*0.0001</f>
        <v>1.6666666666666669E-4</v>
      </c>
      <c r="C26">
        <f>3/4</f>
        <v>0.75</v>
      </c>
      <c r="D26">
        <f>1/4</f>
        <v>0.25</v>
      </c>
      <c r="E26" s="1">
        <f t="shared" si="0"/>
        <v>4.1666666666666672E-5</v>
      </c>
      <c r="F26" s="1">
        <f t="shared" si="1"/>
        <v>3.7500000000000006E-4</v>
      </c>
      <c r="G26" s="1">
        <f t="shared" si="2"/>
        <v>3.1250000000000001E-5</v>
      </c>
      <c r="H26" s="1">
        <f t="shared" ref="H26:H31" si="11">D26*F26</f>
        <v>9.3750000000000016E-5</v>
      </c>
      <c r="I26" s="1">
        <f t="shared" si="3"/>
        <v>0.33333333333333326</v>
      </c>
      <c r="J26" s="1">
        <f t="shared" si="4"/>
        <v>0.75</v>
      </c>
      <c r="K26" s="1">
        <f t="shared" si="5"/>
        <v>0.24999999999999989</v>
      </c>
      <c r="L26" s="4">
        <f t="shared" si="6"/>
        <v>33730.961708462724</v>
      </c>
      <c r="M26" s="4">
        <f t="shared" si="7"/>
        <v>0.79056941504209488</v>
      </c>
      <c r="N26">
        <f t="shared" si="8"/>
        <v>15</v>
      </c>
      <c r="O26" s="1">
        <f t="shared" si="9"/>
        <v>25</v>
      </c>
      <c r="P26" s="6">
        <f t="shared" si="10"/>
        <v>-0.25</v>
      </c>
      <c r="Q26">
        <v>3</v>
      </c>
    </row>
    <row r="27" spans="1:17" x14ac:dyDescent="0.45">
      <c r="A27" s="2">
        <v>0.1673611111111111</v>
      </c>
      <c r="B27">
        <f>25/13*0.0001</f>
        <v>1.9230769230769233E-4</v>
      </c>
      <c r="C27">
        <f>4/5</f>
        <v>0.8</v>
      </c>
      <c r="D27">
        <f>1/5</f>
        <v>0.2</v>
      </c>
      <c r="E27" s="1">
        <f t="shared" si="0"/>
        <v>4.8076923076923077E-5</v>
      </c>
      <c r="F27" s="1">
        <f t="shared" si="1"/>
        <v>4.3269230769230776E-4</v>
      </c>
      <c r="G27" s="1">
        <f t="shared" si="2"/>
        <v>3.8461538461538463E-5</v>
      </c>
      <c r="H27" s="1">
        <f>D27*F27</f>
        <v>8.653846153846156E-5</v>
      </c>
      <c r="I27" s="1">
        <f t="shared" si="3"/>
        <v>0.44444444444444436</v>
      </c>
      <c r="J27" s="1">
        <f t="shared" si="4"/>
        <v>0.69230769230769229</v>
      </c>
      <c r="K27" s="1">
        <f t="shared" si="5"/>
        <v>0.30769230769230749</v>
      </c>
      <c r="L27" s="4">
        <f t="shared" si="6"/>
        <v>28452.255871855425</v>
      </c>
      <c r="M27" s="4">
        <f t="shared" si="7"/>
        <v>0.75760444629200796</v>
      </c>
      <c r="N27">
        <f t="shared" si="8"/>
        <v>14</v>
      </c>
      <c r="O27" s="1">
        <f t="shared" si="9"/>
        <v>23.846153846153847</v>
      </c>
      <c r="P27" s="6">
        <f t="shared" si="10"/>
        <v>-0.26016260162601629</v>
      </c>
      <c r="Q27">
        <v>4</v>
      </c>
    </row>
    <row r="28" spans="1:17" x14ac:dyDescent="0.45">
      <c r="A28" s="2">
        <v>0.41736111111111113</v>
      </c>
      <c r="B28" s="1">
        <v>2.8899999999999998E-4</v>
      </c>
      <c r="C28">
        <f>10/11</f>
        <v>0.90909090909090906</v>
      </c>
      <c r="D28">
        <f>1/11</f>
        <v>9.0909090909090912E-2</v>
      </c>
      <c r="E28" s="1">
        <f t="shared" si="0"/>
        <v>7.2249999999999994E-5</v>
      </c>
      <c r="F28" s="1">
        <f t="shared" si="1"/>
        <v>6.5025E-4</v>
      </c>
      <c r="G28" s="1">
        <f t="shared" si="2"/>
        <v>6.5681818181818178E-5</v>
      </c>
      <c r="H28" s="1">
        <f>D28*F28</f>
        <v>5.9113636363636368E-5</v>
      </c>
      <c r="I28" s="1">
        <f t="shared" si="3"/>
        <v>1.1111111111111109</v>
      </c>
      <c r="J28" s="1">
        <f t="shared" si="4"/>
        <v>0.4745454545454546</v>
      </c>
      <c r="K28" s="1">
        <f t="shared" si="5"/>
        <v>0.52709090909090905</v>
      </c>
      <c r="L28" s="4">
        <f t="shared" si="6"/>
        <v>22683.940481807022</v>
      </c>
      <c r="M28" s="4">
        <f t="shared" si="7"/>
        <v>0.70923777033942081</v>
      </c>
      <c r="N28">
        <f t="shared" si="8"/>
        <v>11.818181818181817</v>
      </c>
      <c r="O28" s="1">
        <f t="shared" si="9"/>
        <v>19.473684210526319</v>
      </c>
      <c r="P28" s="6">
        <f t="shared" si="10"/>
        <v>-0.24464831804281359</v>
      </c>
      <c r="Q28">
        <v>10</v>
      </c>
    </row>
    <row r="29" spans="1:17" x14ac:dyDescent="0.45">
      <c r="A29" s="3">
        <v>2.0840277777777776</v>
      </c>
      <c r="B29" s="1">
        <f>10/100000*(51*400/(50*100+900))*1000/800</f>
        <v>4.3220338983050851E-4</v>
      </c>
      <c r="C29">
        <f>50/51</f>
        <v>0.98039215686274506</v>
      </c>
      <c r="D29">
        <f>1/51</f>
        <v>1.9607843137254902E-2</v>
      </c>
      <c r="E29" s="1">
        <f t="shared" si="0"/>
        <v>1.0805084745762713E-4</v>
      </c>
      <c r="F29" s="1">
        <f t="shared" si="1"/>
        <v>9.7245762711864415E-4</v>
      </c>
      <c r="G29" s="1">
        <f t="shared" si="2"/>
        <v>1.0593220338983052E-4</v>
      </c>
      <c r="H29" s="1">
        <f t="shared" si="11"/>
        <v>1.9067796610169494E-5</v>
      </c>
      <c r="I29" s="1">
        <f t="shared" si="3"/>
        <v>5.5555555555555554</v>
      </c>
      <c r="J29" s="1">
        <f t="shared" si="4"/>
        <v>0.15254237288135586</v>
      </c>
      <c r="K29" s="1">
        <f t="shared" si="5"/>
        <v>0.84745762711864403</v>
      </c>
      <c r="L29" s="4">
        <f t="shared" si="6"/>
        <v>53287.271961383252</v>
      </c>
      <c r="M29" s="4">
        <f t="shared" si="7"/>
        <v>0.86107700311054491</v>
      </c>
      <c r="N29">
        <f t="shared" si="8"/>
        <v>10.392156862745097</v>
      </c>
      <c r="O29" s="1">
        <f t="shared" si="9"/>
        <v>13.050847457627121</v>
      </c>
      <c r="P29" s="6">
        <f t="shared" si="10"/>
        <v>-0.11341083073433529</v>
      </c>
      <c r="Q29">
        <v>50</v>
      </c>
    </row>
    <row r="30" spans="1:17" x14ac:dyDescent="0.45">
      <c r="A30" s="3">
        <v>4.1673611111111111</v>
      </c>
      <c r="B30" s="1">
        <f>10/100000*(101*400/(100*100+900))*1000/800</f>
        <v>4.6330275229357798E-4</v>
      </c>
      <c r="C30">
        <f>100/101</f>
        <v>0.99009900990099009</v>
      </c>
      <c r="D30">
        <f>1/100</f>
        <v>0.01</v>
      </c>
      <c r="E30" s="1">
        <f t="shared" si="0"/>
        <v>1.158256880733945E-4</v>
      </c>
      <c r="F30" s="1">
        <f t="shared" si="1"/>
        <v>1.0424311926605504E-3</v>
      </c>
      <c r="G30" s="1">
        <f t="shared" si="2"/>
        <v>1.146788990825688E-4</v>
      </c>
      <c r="H30" s="1">
        <f t="shared" si="11"/>
        <v>1.0424311926605504E-5</v>
      </c>
      <c r="I30" s="1">
        <f t="shared" si="3"/>
        <v>11.001100110011</v>
      </c>
      <c r="J30" s="1">
        <f t="shared" si="4"/>
        <v>8.2568807339449601E-2</v>
      </c>
      <c r="K30" s="1">
        <f t="shared" si="5"/>
        <v>0.91660550458715595</v>
      </c>
      <c r="L30" s="4">
        <f t="shared" si="6"/>
        <v>97281.201905808761</v>
      </c>
      <c r="M30" s="4">
        <f t="shared" si="7"/>
        <v>0.92031693398792458</v>
      </c>
      <c r="N30">
        <f t="shared" si="8"/>
        <v>10.200990099009902</v>
      </c>
      <c r="O30" s="1">
        <f t="shared" si="9"/>
        <v>11.66651388761573</v>
      </c>
      <c r="P30" s="6">
        <f t="shared" si="10"/>
        <v>-6.7018338695726626E-2</v>
      </c>
      <c r="Q30">
        <v>100</v>
      </c>
    </row>
    <row r="31" spans="1:17" x14ac:dyDescent="0.45">
      <c r="A31" s="3">
        <v>41.667361111111113</v>
      </c>
      <c r="B31" s="1">
        <v>4.9600000000000002E-4</v>
      </c>
      <c r="C31">
        <f>1000/1001</f>
        <v>0.99900099900099903</v>
      </c>
      <c r="D31">
        <f>1/1001</f>
        <v>9.99000999000999E-4</v>
      </c>
      <c r="E31" s="1">
        <f>B31*100/400</f>
        <v>1.2400000000000001E-4</v>
      </c>
      <c r="F31" s="1">
        <f>B31*900/400</f>
        <v>1.116E-3</v>
      </c>
      <c r="G31" s="1">
        <f t="shared" si="2"/>
        <v>1.2387612387612388E-4</v>
      </c>
      <c r="H31" s="1">
        <f t="shared" si="11"/>
        <v>1.1148851148851148E-6</v>
      </c>
      <c r="I31" s="1">
        <f t="shared" si="3"/>
        <v>111.11111111111113</v>
      </c>
      <c r="J31" s="1">
        <f t="shared" si="4"/>
        <v>8.9910089910090196E-3</v>
      </c>
      <c r="K31" s="1">
        <f t="shared" si="5"/>
        <v>0.99108091908091911</v>
      </c>
      <c r="L31" s="4">
        <f t="shared" si="6"/>
        <v>889814.39127876831</v>
      </c>
      <c r="M31" s="4">
        <f t="shared" si="7"/>
        <v>0.99112170110887776</v>
      </c>
      <c r="N31">
        <f>10*C31+30*D31</f>
        <v>10.019980019980022</v>
      </c>
      <c r="O31" s="1">
        <f t="shared" si="9"/>
        <v>10.178394449950446</v>
      </c>
      <c r="P31" s="6">
        <f t="shared" si="10"/>
        <v>-7.8429296479406024E-3</v>
      </c>
      <c r="Q31">
        <v>1000</v>
      </c>
    </row>
    <row r="32" spans="1:17" x14ac:dyDescent="0.45">
      <c r="D32" s="1"/>
    </row>
    <row r="33" spans="1:11" x14ac:dyDescent="0.45">
      <c r="A33" s="1">
        <v>1</v>
      </c>
    </row>
    <row r="34" spans="1:11" x14ac:dyDescent="0.45">
      <c r="K34">
        <f>0.5*0.5+0.5*0.5</f>
        <v>0.5</v>
      </c>
    </row>
    <row r="35" spans="1:11" x14ac:dyDescent="0.45">
      <c r="A35" t="s">
        <v>23</v>
      </c>
    </row>
    <row r="36" spans="1:11" x14ac:dyDescent="0.45">
      <c r="A36" t="s">
        <v>24</v>
      </c>
    </row>
  </sheetData>
  <phoneticPr fontId="1"/>
  <pageMargins left="0.7" right="0.7" top="0.75" bottom="0.75" header="0.3" footer="0.3"/>
  <pageSetup paperSize="9" scale="73" fitToHeight="0" orientation="landscape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加藤ちなみ</dc:creator>
  <cp:lastModifiedBy>加藤ちなみ</cp:lastModifiedBy>
  <cp:lastPrinted>2022-04-27T12:12:49Z</cp:lastPrinted>
  <dcterms:created xsi:type="dcterms:W3CDTF">2022-02-24T15:59:52Z</dcterms:created>
  <dcterms:modified xsi:type="dcterms:W3CDTF">2022-05-19T01:26:07Z</dcterms:modified>
</cp:coreProperties>
</file>